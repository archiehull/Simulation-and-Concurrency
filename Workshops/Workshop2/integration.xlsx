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63073\Workspace\Simulation-and-Concurrency\Workshops\Workshop2\"/>
    </mc:Choice>
  </mc:AlternateContent>
  <xr:revisionPtr revIDLastSave="0" documentId="8_{E087FAF7-C23A-456B-AF0A-DA2F86ABED24}" xr6:coauthVersionLast="47" xr6:coauthVersionMax="47" xr10:uidLastSave="{00000000-0000-0000-0000-000000000000}"/>
  <bookViews>
    <workbookView xWindow="13280" yWindow="910" windowWidth="25530" windowHeight="16010" xr2:uid="{6933445D-9ED4-472B-94B6-37946D3C7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E48" i="1"/>
  <c r="F48" i="1"/>
  <c r="G48" i="1"/>
  <c r="H48" i="1"/>
  <c r="D49" i="1"/>
  <c r="E49" i="1"/>
  <c r="F49" i="1"/>
  <c r="G49" i="1"/>
  <c r="H49" i="1"/>
  <c r="D44" i="1"/>
  <c r="E44" i="1"/>
  <c r="F44" i="1"/>
  <c r="G44" i="1"/>
  <c r="H44" i="1" s="1"/>
  <c r="H45" i="1" s="1"/>
  <c r="H46" i="1" s="1"/>
  <c r="D45" i="1"/>
  <c r="E45" i="1"/>
  <c r="F45" i="1"/>
  <c r="G45" i="1"/>
  <c r="D46" i="1"/>
  <c r="E46" i="1"/>
  <c r="F46" i="1"/>
  <c r="F47" i="1" s="1"/>
  <c r="G46" i="1"/>
  <c r="G47" i="1" s="1"/>
  <c r="D47" i="1"/>
  <c r="E47" i="1" s="1"/>
  <c r="D34" i="1"/>
  <c r="E34" i="1" s="1"/>
  <c r="F34" i="1"/>
  <c r="G34" i="1"/>
  <c r="H34" i="1"/>
  <c r="F35" i="1"/>
  <c r="G35" i="1"/>
  <c r="H35" i="1"/>
  <c r="F36" i="1"/>
  <c r="F37" i="1" s="1"/>
  <c r="G36" i="1"/>
  <c r="G37" i="1" s="1"/>
  <c r="G38" i="1" s="1"/>
  <c r="G39" i="1" s="1"/>
  <c r="G40" i="1" s="1"/>
  <c r="G41" i="1" s="1"/>
  <c r="G42" i="1" s="1"/>
  <c r="G43" i="1" s="1"/>
  <c r="H36" i="1"/>
  <c r="H37" i="1" s="1"/>
  <c r="H38" i="1" s="1"/>
  <c r="H39" i="1" s="1"/>
  <c r="H40" i="1" s="1"/>
  <c r="H41" i="1" s="1"/>
  <c r="H42" i="1" s="1"/>
  <c r="H43" i="1" s="1"/>
  <c r="D33" i="1"/>
  <c r="E33" i="1" s="1"/>
  <c r="F33" i="1"/>
  <c r="G33" i="1"/>
  <c r="H33" i="1"/>
  <c r="D32" i="1"/>
  <c r="E32" i="1"/>
  <c r="F32" i="1"/>
  <c r="G32" i="1"/>
  <c r="H32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F21" i="1" s="1"/>
  <c r="G20" i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D21" i="1"/>
  <c r="E21" i="1" s="1"/>
  <c r="H2" i="1"/>
  <c r="F2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2" i="1"/>
  <c r="G3" i="1" s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E9" i="1"/>
  <c r="E10" i="1"/>
  <c r="E11" i="1"/>
  <c r="E12" i="1"/>
  <c r="E13" i="1"/>
  <c r="E4" i="1"/>
  <c r="E3" i="1"/>
  <c r="E2" i="1"/>
  <c r="D10" i="1"/>
  <c r="D11" i="1" s="1"/>
  <c r="D12" i="1" s="1"/>
  <c r="D13" i="1" s="1"/>
  <c r="D14" i="1" s="1"/>
  <c r="D15" i="1" s="1"/>
  <c r="E15" i="1" s="1"/>
  <c r="D3" i="1"/>
  <c r="D4" i="1" s="1"/>
  <c r="D5" i="1" s="1"/>
  <c r="D6" i="1" s="1"/>
  <c r="D7" i="1" s="1"/>
  <c r="D8" i="1" s="1"/>
  <c r="E8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H47" i="1" l="1"/>
  <c r="F38" i="1"/>
  <c r="F39" i="1" s="1"/>
  <c r="F40" i="1" s="1"/>
  <c r="F41" i="1" s="1"/>
  <c r="F42" i="1" s="1"/>
  <c r="F43" i="1" s="1"/>
  <c r="D35" i="1"/>
  <c r="F22" i="1"/>
  <c r="F23" i="1" s="1"/>
  <c r="F24" i="1" s="1"/>
  <c r="F25" i="1" s="1"/>
  <c r="F26" i="1" s="1"/>
  <c r="F27" i="1" s="1"/>
  <c r="F28" i="1" s="1"/>
  <c r="F29" i="1" s="1"/>
  <c r="F30" i="1" s="1"/>
  <c r="F31" i="1" s="1"/>
  <c r="D22" i="1"/>
  <c r="E7" i="1"/>
  <c r="D16" i="1"/>
  <c r="E6" i="1"/>
  <c r="E5" i="1"/>
  <c r="E14" i="1"/>
  <c r="D36" i="1" l="1"/>
  <c r="E35" i="1"/>
  <c r="D23" i="1"/>
  <c r="E22" i="1"/>
  <c r="D17" i="1"/>
  <c r="E17" i="1" s="1"/>
  <c r="E16" i="1"/>
  <c r="E36" i="1" l="1"/>
  <c r="D37" i="1"/>
  <c r="E23" i="1"/>
  <c r="D24" i="1"/>
  <c r="D38" i="1" l="1"/>
  <c r="E37" i="1"/>
  <c r="D25" i="1"/>
  <c r="E24" i="1"/>
  <c r="E38" i="1" l="1"/>
  <c r="D39" i="1"/>
  <c r="D26" i="1"/>
  <c r="E25" i="1"/>
  <c r="D40" i="1" l="1"/>
  <c r="E39" i="1"/>
  <c r="D27" i="1"/>
  <c r="E26" i="1"/>
  <c r="D41" i="1" l="1"/>
  <c r="E40" i="1"/>
  <c r="D28" i="1"/>
  <c r="E27" i="1"/>
  <c r="E41" i="1" l="1"/>
  <c r="D42" i="1"/>
  <c r="D29" i="1"/>
  <c r="E28" i="1"/>
  <c r="D43" i="1" l="1"/>
  <c r="E43" i="1" s="1"/>
  <c r="E42" i="1"/>
  <c r="E29" i="1"/>
  <c r="D30" i="1"/>
  <c r="D31" i="1" l="1"/>
  <c r="E31" i="1" s="1"/>
  <c r="E30" i="1"/>
</calcChain>
</file>

<file path=xl/sharedStrings.xml><?xml version="1.0" encoding="utf-8"?>
<sst xmlns="http://schemas.openxmlformats.org/spreadsheetml/2006/main" count="9" uniqueCount="9">
  <si>
    <r>
      <t xml:space="preserve">timestep </t>
    </r>
    <r>
      <rPr>
        <b/>
        <sz val="11"/>
        <color theme="1"/>
        <rFont val="Aptos Narrow"/>
        <scheme val="minor"/>
      </rPr>
      <t xml:space="preserve">delta time </t>
    </r>
  </si>
  <si>
    <r>
      <t xml:space="preserve">starting velocity </t>
    </r>
    <r>
      <rPr>
        <b/>
        <sz val="11"/>
        <color theme="1"/>
        <rFont val="Aptos Narrow"/>
        <scheme val="minor"/>
      </rPr>
      <t>u</t>
    </r>
  </si>
  <si>
    <r>
      <t xml:space="preserve">acceleration </t>
    </r>
    <r>
      <rPr>
        <b/>
        <sz val="11"/>
        <color theme="1"/>
        <rFont val="Aptos Narrow"/>
        <scheme val="minor"/>
      </rPr>
      <t>a</t>
    </r>
  </si>
  <si>
    <t>time increments</t>
  </si>
  <si>
    <t>positions</t>
  </si>
  <si>
    <t>velocities</t>
  </si>
  <si>
    <t>displacement</t>
  </si>
  <si>
    <t xml:space="preserve">starting position </t>
  </si>
  <si>
    <t>new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</si>
</sst>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displacement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Sheet1!$D$2:$D$49</c:f>
              <c:numCache>
                <c:formatCode>General</c:formatCode>
                <c:ptCount val="48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</c:numCache>
            </c:numRef>
          </c:xVal>
          <c:yVal>
            <c:numRef>
              <c:f>Sheet1!$E$2:$E$49</c:f>
              <c:numCache>
                <c:formatCode>General</c:formatCode>
                <c:ptCount val="48"/>
                <c:pt idx="0">
                  <c:v>0</c:v>
                </c:pt>
                <c:pt idx="1">
                  <c:v>4.8828125E-4</c:v>
                </c:pt>
                <c:pt idx="2">
                  <c:v>3.90625E-3</c:v>
                </c:pt>
                <c:pt idx="3">
                  <c:v>1.318359375E-2</c:v>
                </c:pt>
                <c:pt idx="4">
                  <c:v>3.125E-2</c:v>
                </c:pt>
                <c:pt idx="5">
                  <c:v>6.103515625E-2</c:v>
                </c:pt>
                <c:pt idx="6">
                  <c:v>0.10546875</c:v>
                </c:pt>
                <c:pt idx="7">
                  <c:v>0.25</c:v>
                </c:pt>
                <c:pt idx="8">
                  <c:v>0.35595703125</c:v>
                </c:pt>
                <c:pt idx="9">
                  <c:v>0.48828125</c:v>
                </c:pt>
                <c:pt idx="10">
                  <c:v>0.64990234375</c:v>
                </c:pt>
                <c:pt idx="11">
                  <c:v>0.84375</c:v>
                </c:pt>
                <c:pt idx="12">
                  <c:v>1.07275390625</c:v>
                </c:pt>
                <c:pt idx="13">
                  <c:v>1.33984375</c:v>
                </c:pt>
                <c:pt idx="14">
                  <c:v>1.64794921875</c:v>
                </c:pt>
                <c:pt idx="15">
                  <c:v>2</c:v>
                </c:pt>
                <c:pt idx="16">
                  <c:v>2.39892578125</c:v>
                </c:pt>
                <c:pt idx="17">
                  <c:v>2.84765625</c:v>
                </c:pt>
                <c:pt idx="18">
                  <c:v>3.34912109375</c:v>
                </c:pt>
                <c:pt idx="19">
                  <c:v>3.90625</c:v>
                </c:pt>
                <c:pt idx="20">
                  <c:v>4.52197265625</c:v>
                </c:pt>
                <c:pt idx="21">
                  <c:v>5.19921875</c:v>
                </c:pt>
                <c:pt idx="22">
                  <c:v>5.94091796875</c:v>
                </c:pt>
                <c:pt idx="23">
                  <c:v>6.75</c:v>
                </c:pt>
                <c:pt idx="24">
                  <c:v>7.62939453125</c:v>
                </c:pt>
                <c:pt idx="25">
                  <c:v>8.58203125</c:v>
                </c:pt>
                <c:pt idx="26">
                  <c:v>9.61083984375</c:v>
                </c:pt>
                <c:pt idx="27">
                  <c:v>10.71875</c:v>
                </c:pt>
                <c:pt idx="28">
                  <c:v>11.90869140625</c:v>
                </c:pt>
                <c:pt idx="29">
                  <c:v>13.18359375</c:v>
                </c:pt>
                <c:pt idx="30">
                  <c:v>14.54638671875</c:v>
                </c:pt>
                <c:pt idx="31">
                  <c:v>16</c:v>
                </c:pt>
                <c:pt idx="32">
                  <c:v>17.54736328125</c:v>
                </c:pt>
                <c:pt idx="33">
                  <c:v>19.19140625</c:v>
                </c:pt>
                <c:pt idx="34">
                  <c:v>20.93505859375</c:v>
                </c:pt>
                <c:pt idx="35">
                  <c:v>22.78125</c:v>
                </c:pt>
                <c:pt idx="36">
                  <c:v>24.73291015625</c:v>
                </c:pt>
                <c:pt idx="37">
                  <c:v>26.79296875</c:v>
                </c:pt>
                <c:pt idx="38">
                  <c:v>28.96435546875</c:v>
                </c:pt>
                <c:pt idx="39">
                  <c:v>31.25</c:v>
                </c:pt>
                <c:pt idx="40">
                  <c:v>33.65283203125</c:v>
                </c:pt>
                <c:pt idx="41">
                  <c:v>36.17578125</c:v>
                </c:pt>
                <c:pt idx="42">
                  <c:v>38.82177734375</c:v>
                </c:pt>
                <c:pt idx="43">
                  <c:v>41.59375</c:v>
                </c:pt>
                <c:pt idx="44">
                  <c:v>44.49462890625</c:v>
                </c:pt>
                <c:pt idx="45">
                  <c:v>47.52734375</c:v>
                </c:pt>
                <c:pt idx="46">
                  <c:v>50.69482421875</c:v>
                </c:pt>
                <c:pt idx="47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3-48F8-B0B2-443CFA9CF819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positions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Sheet1!$D$2:$D$49</c:f>
              <c:numCache>
                <c:formatCode>General</c:formatCode>
                <c:ptCount val="48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</c:numCache>
            </c:numRef>
          </c:xVal>
          <c:yVal>
            <c:numRef>
              <c:f>Sheet1!$F$2:$F$49</c:f>
              <c:numCache>
                <c:formatCode>General</c:formatCode>
                <c:ptCount val="48"/>
                <c:pt idx="0">
                  <c:v>0</c:v>
                </c:pt>
                <c:pt idx="1">
                  <c:v>0.375</c:v>
                </c:pt>
                <c:pt idx="2">
                  <c:v>0.7578125</c:v>
                </c:pt>
                <c:pt idx="3">
                  <c:v>1.1484375</c:v>
                </c:pt>
                <c:pt idx="4">
                  <c:v>1.546875</c:v>
                </c:pt>
                <c:pt idx="5">
                  <c:v>1.953125</c:v>
                </c:pt>
                <c:pt idx="6">
                  <c:v>2.3671875</c:v>
                </c:pt>
                <c:pt idx="7">
                  <c:v>2.7890625</c:v>
                </c:pt>
                <c:pt idx="8">
                  <c:v>3.21875</c:v>
                </c:pt>
                <c:pt idx="9">
                  <c:v>3.65625</c:v>
                </c:pt>
                <c:pt idx="10">
                  <c:v>4.1015625</c:v>
                </c:pt>
                <c:pt idx="11">
                  <c:v>4.5546875</c:v>
                </c:pt>
                <c:pt idx="12">
                  <c:v>5.015625</c:v>
                </c:pt>
                <c:pt idx="13">
                  <c:v>5.484375</c:v>
                </c:pt>
                <c:pt idx="14">
                  <c:v>5.9609375</c:v>
                </c:pt>
                <c:pt idx="15">
                  <c:v>6.4453125</c:v>
                </c:pt>
                <c:pt idx="16">
                  <c:v>6.9375</c:v>
                </c:pt>
                <c:pt idx="17">
                  <c:v>7.4375</c:v>
                </c:pt>
                <c:pt idx="18">
                  <c:v>7.9453125</c:v>
                </c:pt>
                <c:pt idx="19">
                  <c:v>8.4609375</c:v>
                </c:pt>
                <c:pt idx="20">
                  <c:v>8.984375</c:v>
                </c:pt>
                <c:pt idx="21">
                  <c:v>9.515625</c:v>
                </c:pt>
                <c:pt idx="22">
                  <c:v>10.0546875</c:v>
                </c:pt>
                <c:pt idx="23">
                  <c:v>10.6015625</c:v>
                </c:pt>
                <c:pt idx="24">
                  <c:v>11.15625</c:v>
                </c:pt>
                <c:pt idx="25">
                  <c:v>11.71875</c:v>
                </c:pt>
                <c:pt idx="26">
                  <c:v>12.2890625</c:v>
                </c:pt>
                <c:pt idx="27">
                  <c:v>12.8671875</c:v>
                </c:pt>
                <c:pt idx="28">
                  <c:v>13.453125</c:v>
                </c:pt>
                <c:pt idx="29">
                  <c:v>14.046875</c:v>
                </c:pt>
                <c:pt idx="30">
                  <c:v>14.6484375</c:v>
                </c:pt>
                <c:pt idx="31">
                  <c:v>15.2578125</c:v>
                </c:pt>
                <c:pt idx="32">
                  <c:v>15.875</c:v>
                </c:pt>
                <c:pt idx="33">
                  <c:v>16.5</c:v>
                </c:pt>
                <c:pt idx="34">
                  <c:v>17.1328125</c:v>
                </c:pt>
                <c:pt idx="35">
                  <c:v>17.7734375</c:v>
                </c:pt>
                <c:pt idx="36">
                  <c:v>18.421875</c:v>
                </c:pt>
                <c:pt idx="37">
                  <c:v>19.078125</c:v>
                </c:pt>
                <c:pt idx="38">
                  <c:v>19.7421875</c:v>
                </c:pt>
                <c:pt idx="39">
                  <c:v>20.4140625</c:v>
                </c:pt>
                <c:pt idx="40">
                  <c:v>21.09375</c:v>
                </c:pt>
                <c:pt idx="41">
                  <c:v>21.78125</c:v>
                </c:pt>
                <c:pt idx="42">
                  <c:v>22.4765625</c:v>
                </c:pt>
                <c:pt idx="43">
                  <c:v>23.1796875</c:v>
                </c:pt>
                <c:pt idx="44">
                  <c:v>23.890625</c:v>
                </c:pt>
                <c:pt idx="45">
                  <c:v>24.609375</c:v>
                </c:pt>
                <c:pt idx="46">
                  <c:v>25.3359375</c:v>
                </c:pt>
                <c:pt idx="47">
                  <c:v>26.0703125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3-48F8-B0B2-443CFA9CF819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velocities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Sheet1!$D$2:$D$49</c:f>
              <c:numCache>
                <c:formatCode>General</c:formatCode>
                <c:ptCount val="48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</c:numCache>
            </c:numRef>
          </c:xVal>
          <c:yVal>
            <c:numRef>
              <c:f>Sheet1!$G$2:$G$49</c:f>
              <c:numCache>
                <c:formatCode>General</c:formatCode>
                <c:ptCount val="48"/>
                <c:pt idx="0">
                  <c:v>3</c:v>
                </c:pt>
                <c:pt idx="1">
                  <c:v>3.0625</c:v>
                </c:pt>
                <c:pt idx="2">
                  <c:v>3.125</c:v>
                </c:pt>
                <c:pt idx="3">
                  <c:v>3.1875</c:v>
                </c:pt>
                <c:pt idx="4">
                  <c:v>3.25</c:v>
                </c:pt>
                <c:pt idx="5">
                  <c:v>3.3125</c:v>
                </c:pt>
                <c:pt idx="6">
                  <c:v>3.375</c:v>
                </c:pt>
                <c:pt idx="7">
                  <c:v>3.4375</c:v>
                </c:pt>
                <c:pt idx="8">
                  <c:v>3.5</c:v>
                </c:pt>
                <c:pt idx="9">
                  <c:v>3.5625</c:v>
                </c:pt>
                <c:pt idx="10">
                  <c:v>3.625</c:v>
                </c:pt>
                <c:pt idx="11">
                  <c:v>3.6875</c:v>
                </c:pt>
                <c:pt idx="12">
                  <c:v>3.75</c:v>
                </c:pt>
                <c:pt idx="13">
                  <c:v>3.8125</c:v>
                </c:pt>
                <c:pt idx="14">
                  <c:v>3.875</c:v>
                </c:pt>
                <c:pt idx="15">
                  <c:v>3.9375</c:v>
                </c:pt>
                <c:pt idx="16">
                  <c:v>4</c:v>
                </c:pt>
                <c:pt idx="17">
                  <c:v>4.0625</c:v>
                </c:pt>
                <c:pt idx="18">
                  <c:v>4.125</c:v>
                </c:pt>
                <c:pt idx="19">
                  <c:v>4.1875</c:v>
                </c:pt>
                <c:pt idx="20">
                  <c:v>4.25</c:v>
                </c:pt>
                <c:pt idx="21">
                  <c:v>4.3125</c:v>
                </c:pt>
                <c:pt idx="22">
                  <c:v>4.375</c:v>
                </c:pt>
                <c:pt idx="23">
                  <c:v>4.4375</c:v>
                </c:pt>
                <c:pt idx="24">
                  <c:v>4.5</c:v>
                </c:pt>
                <c:pt idx="25">
                  <c:v>4.5625</c:v>
                </c:pt>
                <c:pt idx="26">
                  <c:v>4.625</c:v>
                </c:pt>
                <c:pt idx="27">
                  <c:v>4.6875</c:v>
                </c:pt>
                <c:pt idx="28">
                  <c:v>4.75</c:v>
                </c:pt>
                <c:pt idx="29">
                  <c:v>4.8125</c:v>
                </c:pt>
                <c:pt idx="30">
                  <c:v>4.875</c:v>
                </c:pt>
                <c:pt idx="31">
                  <c:v>4.9375</c:v>
                </c:pt>
                <c:pt idx="32">
                  <c:v>5</c:v>
                </c:pt>
                <c:pt idx="33">
                  <c:v>5.0625</c:v>
                </c:pt>
                <c:pt idx="34">
                  <c:v>5.125</c:v>
                </c:pt>
                <c:pt idx="35">
                  <c:v>5.1875</c:v>
                </c:pt>
                <c:pt idx="36">
                  <c:v>5.25</c:v>
                </c:pt>
                <c:pt idx="37">
                  <c:v>5.3125</c:v>
                </c:pt>
                <c:pt idx="38">
                  <c:v>5.375</c:v>
                </c:pt>
                <c:pt idx="39">
                  <c:v>5.4375</c:v>
                </c:pt>
                <c:pt idx="40">
                  <c:v>5.5</c:v>
                </c:pt>
                <c:pt idx="41">
                  <c:v>5.5625</c:v>
                </c:pt>
                <c:pt idx="42">
                  <c:v>5.625</c:v>
                </c:pt>
                <c:pt idx="43">
                  <c:v>5.6875</c:v>
                </c:pt>
                <c:pt idx="44">
                  <c:v>5.75</c:v>
                </c:pt>
                <c:pt idx="45">
                  <c:v>5.8125</c:v>
                </c:pt>
                <c:pt idx="46">
                  <c:v>5.875</c:v>
                </c:pt>
                <c:pt idx="47">
                  <c:v>5.9375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3-48F8-B0B2-443CFA9CF819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new pos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Sheet1!$D$2:$D$49</c:f>
              <c:numCache>
                <c:formatCode>General</c:formatCode>
                <c:ptCount val="48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</c:numCache>
            </c:numRef>
          </c:xVal>
          <c:yVal>
            <c:numRef>
              <c:f>Sheet1!$H$2:$H$49</c:f>
              <c:numCache>
                <c:formatCode>General</c:formatCode>
                <c:ptCount val="48"/>
                <c:pt idx="0">
                  <c:v>0</c:v>
                </c:pt>
                <c:pt idx="1">
                  <c:v>0.3828125</c:v>
                </c:pt>
                <c:pt idx="2">
                  <c:v>0.7734375</c:v>
                </c:pt>
                <c:pt idx="3">
                  <c:v>1.171875</c:v>
                </c:pt>
                <c:pt idx="4">
                  <c:v>1.578125</c:v>
                </c:pt>
                <c:pt idx="5">
                  <c:v>1.9921875</c:v>
                </c:pt>
                <c:pt idx="6">
                  <c:v>2.4140625</c:v>
                </c:pt>
                <c:pt idx="7">
                  <c:v>2.84375</c:v>
                </c:pt>
                <c:pt idx="8">
                  <c:v>3.28125</c:v>
                </c:pt>
                <c:pt idx="9">
                  <c:v>3.7265625</c:v>
                </c:pt>
                <c:pt idx="10">
                  <c:v>4.1796875</c:v>
                </c:pt>
                <c:pt idx="11">
                  <c:v>4.640625</c:v>
                </c:pt>
                <c:pt idx="12">
                  <c:v>5.109375</c:v>
                </c:pt>
                <c:pt idx="13">
                  <c:v>5.5859375</c:v>
                </c:pt>
                <c:pt idx="14">
                  <c:v>6.0703125</c:v>
                </c:pt>
                <c:pt idx="15">
                  <c:v>6.5625</c:v>
                </c:pt>
                <c:pt idx="16">
                  <c:v>7.0625</c:v>
                </c:pt>
                <c:pt idx="17">
                  <c:v>7.5703125</c:v>
                </c:pt>
                <c:pt idx="18">
                  <c:v>8.0859375</c:v>
                </c:pt>
                <c:pt idx="19">
                  <c:v>8.609375</c:v>
                </c:pt>
                <c:pt idx="20">
                  <c:v>9.140625</c:v>
                </c:pt>
                <c:pt idx="21">
                  <c:v>9.6796875</c:v>
                </c:pt>
                <c:pt idx="22">
                  <c:v>10.2265625</c:v>
                </c:pt>
                <c:pt idx="23">
                  <c:v>10.78125</c:v>
                </c:pt>
                <c:pt idx="24">
                  <c:v>11.34375</c:v>
                </c:pt>
                <c:pt idx="25">
                  <c:v>11.9140625</c:v>
                </c:pt>
                <c:pt idx="26">
                  <c:v>12.4921875</c:v>
                </c:pt>
                <c:pt idx="27">
                  <c:v>13.078125</c:v>
                </c:pt>
                <c:pt idx="28">
                  <c:v>13.671875</c:v>
                </c:pt>
                <c:pt idx="29">
                  <c:v>14.2734375</c:v>
                </c:pt>
                <c:pt idx="30">
                  <c:v>14.8828125</c:v>
                </c:pt>
                <c:pt idx="31">
                  <c:v>15.5</c:v>
                </c:pt>
                <c:pt idx="32">
                  <c:v>16.125</c:v>
                </c:pt>
                <c:pt idx="33">
                  <c:v>16.7578125</c:v>
                </c:pt>
                <c:pt idx="34">
                  <c:v>17.3984375</c:v>
                </c:pt>
                <c:pt idx="35">
                  <c:v>18.046875</c:v>
                </c:pt>
                <c:pt idx="36">
                  <c:v>18.703125</c:v>
                </c:pt>
                <c:pt idx="37">
                  <c:v>19.3671875</c:v>
                </c:pt>
                <c:pt idx="38">
                  <c:v>20.0390625</c:v>
                </c:pt>
                <c:pt idx="39">
                  <c:v>20.71875</c:v>
                </c:pt>
                <c:pt idx="40">
                  <c:v>21.40625</c:v>
                </c:pt>
                <c:pt idx="41">
                  <c:v>22.1015625</c:v>
                </c:pt>
                <c:pt idx="42">
                  <c:v>22.8046875</c:v>
                </c:pt>
                <c:pt idx="43">
                  <c:v>23.515625</c:v>
                </c:pt>
                <c:pt idx="44">
                  <c:v>24.234375</c:v>
                </c:pt>
                <c:pt idx="45">
                  <c:v>24.9609375</c:v>
                </c:pt>
                <c:pt idx="46">
                  <c:v>25.6953125</c:v>
                </c:pt>
                <c:pt idx="47">
                  <c:v>26.4375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23-48F8-B0B2-443CFA9CF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736575"/>
        <c:axId val="667733215"/>
      </c:scatterChart>
      <c:valAx>
        <c:axId val="66773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733215"/>
        <c:crosses val="autoZero"/>
        <c:crossBetween val="midCat"/>
      </c:valAx>
      <c:valAx>
        <c:axId val="6677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736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73024</xdr:colOff>
      <xdr:row>0</xdr:row>
      <xdr:rowOff>142874</xdr:rowOff>
    </xdr:from>
    <xdr:to>
      <xdr:col>18</xdr:col>
      <xdr:colOff>507999</xdr:colOff>
      <xdr:row>21</xdr:row>
      <xdr:rowOff>158749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23A6E-1059-F868-C951-0052F652A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6D33-1264-4D67-8A15-A8F934A021AF}">
  <dimension ref="A1:H49"/>
  <sheetViews>
    <sheetView tabSelected="1" topLeftCell="C1" workbookViewId="0">
      <selection activeCell="J19" sqref="J19"/>
    </sheetView>
  </sheetViews>
  <sheetFormatPr defaultRowHeight="14"/>
  <cols>
    <col min="1" max="1" width="17.5" bestFit="1" customWidth="1"/>
    <col min="2" max="2" width="15.6640625" bestFit="1" customWidth="1"/>
    <col min="3" max="3" width="11.83203125" bestFit="1" customWidth="1"/>
    <col min="4" max="4" width="13.4140625" bestFit="1" customWidth="1"/>
    <col min="6" max="6" width="11.75" bestFit="1" customWidth="1"/>
  </cols>
  <sheetData>
    <row r="1" spans="1:8">
      <c r="D1" t="s">
        <v>3</v>
      </c>
      <c r="E1" t="s">
        <v>6</v>
      </c>
      <c r="F1" t="s">
        <v>4</v>
      </c>
      <c r="G1" t="s">
        <v>5</v>
      </c>
      <c r="H1" t="s">
        <v>8</v>
      </c>
    </row>
    <row r="2" spans="1:8" ht="14.5">
      <c r="A2" t="s">
        <v>0</v>
      </c>
      <c r="B2">
        <v>0.125</v>
      </c>
      <c r="D2">
        <v>0</v>
      </c>
      <c r="E2">
        <f>D2*(0.5*$B$4*D2^2)</f>
        <v>0</v>
      </c>
      <c r="F2">
        <f>$B$5</f>
        <v>0</v>
      </c>
      <c r="G2">
        <f>$B$3</f>
        <v>3</v>
      </c>
      <c r="H2">
        <f>$B$5</f>
        <v>0</v>
      </c>
    </row>
    <row r="3" spans="1:8" ht="14.5">
      <c r="A3" t="s">
        <v>1</v>
      </c>
      <c r="B3">
        <v>3</v>
      </c>
      <c r="D3">
        <f>D2+$B$2</f>
        <v>0.125</v>
      </c>
      <c r="E3">
        <f>D3*(0.5*$B$4*D3^2)</f>
        <v>4.8828125E-4</v>
      </c>
      <c r="F3">
        <f>F2 + G2 * $B$2</f>
        <v>0.375</v>
      </c>
      <c r="G3" s="1">
        <f>G2 + $B$4 * $B$2</f>
        <v>3.0625</v>
      </c>
      <c r="H3">
        <f>H2+G3*$B$2</f>
        <v>0.3828125</v>
      </c>
    </row>
    <row r="4" spans="1:8" ht="14.5">
      <c r="A4" t="s">
        <v>2</v>
      </c>
      <c r="B4">
        <v>0.5</v>
      </c>
      <c r="D4">
        <f>D3+$B$2</f>
        <v>0.25</v>
      </c>
      <c r="E4">
        <f>D4*(0.5*$B$4*D4^2)</f>
        <v>3.90625E-3</v>
      </c>
      <c r="F4">
        <f>F3 + G3 * $B$2</f>
        <v>0.7578125</v>
      </c>
      <c r="G4" s="1">
        <f t="shared" ref="G4:G17" si="0">G3 + $B$4 * $B$2</f>
        <v>3.125</v>
      </c>
      <c r="H4">
        <f>H3+G4*$B$2</f>
        <v>0.7734375</v>
      </c>
    </row>
    <row r="5" spans="1:8">
      <c r="A5" t="s">
        <v>7</v>
      </c>
      <c r="B5">
        <v>0</v>
      </c>
      <c r="D5">
        <f t="shared" ref="D5:D7" si="1">D4+$B$2</f>
        <v>0.375</v>
      </c>
      <c r="E5">
        <f>D5*(0.5*$B$4*D5^2)</f>
        <v>1.318359375E-2</v>
      </c>
      <c r="F5">
        <f>F4 + G4 * $B$2</f>
        <v>1.1484375</v>
      </c>
      <c r="G5" s="1">
        <f t="shared" si="0"/>
        <v>3.1875</v>
      </c>
      <c r="H5">
        <f>H4+G5*$B$2</f>
        <v>1.171875</v>
      </c>
    </row>
    <row r="6" spans="1:8">
      <c r="D6">
        <f t="shared" si="1"/>
        <v>0.5</v>
      </c>
      <c r="E6">
        <f>D6*(0.5*$B$4*D6^2)</f>
        <v>3.125E-2</v>
      </c>
      <c r="F6">
        <f>F5 + G5 * $B$2</f>
        <v>1.546875</v>
      </c>
      <c r="G6" s="1">
        <f t="shared" si="0"/>
        <v>3.25</v>
      </c>
      <c r="H6">
        <f>H5+G6*$B$2</f>
        <v>1.578125</v>
      </c>
    </row>
    <row r="7" spans="1:8">
      <c r="D7">
        <f t="shared" si="1"/>
        <v>0.625</v>
      </c>
      <c r="E7">
        <f>D7*(0.5*$B$4*D7^2)</f>
        <v>6.103515625E-2</v>
      </c>
      <c r="F7">
        <f>F6 + G6 * $B$2</f>
        <v>1.953125</v>
      </c>
      <c r="G7" s="1">
        <f t="shared" si="0"/>
        <v>3.3125</v>
      </c>
      <c r="H7">
        <f>H6+G7*$B$2</f>
        <v>1.9921875</v>
      </c>
    </row>
    <row r="8" spans="1:8">
      <c r="D8">
        <f>D7+$B$2</f>
        <v>0.75</v>
      </c>
      <c r="E8">
        <f>D8*(0.5*$B$4*D8^2)</f>
        <v>0.10546875</v>
      </c>
      <c r="F8">
        <f>F7 + G7 * $B$2</f>
        <v>2.3671875</v>
      </c>
      <c r="G8" s="1">
        <f t="shared" si="0"/>
        <v>3.375</v>
      </c>
      <c r="H8">
        <f>H7+G8*$B$2</f>
        <v>2.4140625</v>
      </c>
    </row>
    <row r="9" spans="1:8">
      <c r="D9">
        <v>1</v>
      </c>
      <c r="E9">
        <f>D9*(0.5*$B$4*D9^2)</f>
        <v>0.25</v>
      </c>
      <c r="F9">
        <f>F8 + G8 * $B$2</f>
        <v>2.7890625</v>
      </c>
      <c r="G9" s="1">
        <f t="shared" si="0"/>
        <v>3.4375</v>
      </c>
      <c r="H9">
        <f>H8+G9*$B$2</f>
        <v>2.84375</v>
      </c>
    </row>
    <row r="10" spans="1:8">
      <c r="D10">
        <f>D9+$B$2</f>
        <v>1.125</v>
      </c>
      <c r="E10">
        <f>D10*(0.5*$B$4*D10^2)</f>
        <v>0.35595703125</v>
      </c>
      <c r="F10">
        <f>F9 + G9 * $B$2</f>
        <v>3.21875</v>
      </c>
      <c r="G10" s="1">
        <f t="shared" si="0"/>
        <v>3.5</v>
      </c>
      <c r="H10">
        <f>H9+G10*$B$2</f>
        <v>3.28125</v>
      </c>
    </row>
    <row r="11" spans="1:8">
      <c r="D11">
        <f>D10+$B$2</f>
        <v>1.25</v>
      </c>
      <c r="E11">
        <f>D11*(0.5*$B$4*D11^2)</f>
        <v>0.48828125</v>
      </c>
      <c r="F11">
        <f>F10 + G10 * $B$2</f>
        <v>3.65625</v>
      </c>
      <c r="G11" s="1">
        <f t="shared" si="0"/>
        <v>3.5625</v>
      </c>
      <c r="H11">
        <f>H10+G11*$B$2</f>
        <v>3.7265625</v>
      </c>
    </row>
    <row r="12" spans="1:8">
      <c r="D12">
        <f t="shared" ref="D12:D14" si="2">D11+$B$2</f>
        <v>1.375</v>
      </c>
      <c r="E12">
        <f>D12*(0.5*$B$4*D12^2)</f>
        <v>0.64990234375</v>
      </c>
      <c r="F12">
        <f>F11 + G11 * $B$2</f>
        <v>4.1015625</v>
      </c>
      <c r="G12" s="1">
        <f t="shared" si="0"/>
        <v>3.625</v>
      </c>
      <c r="H12">
        <f>H11+G12*$B$2</f>
        <v>4.1796875</v>
      </c>
    </row>
    <row r="13" spans="1:8">
      <c r="D13">
        <f t="shared" si="2"/>
        <v>1.5</v>
      </c>
      <c r="E13">
        <f>D13*(0.5*$B$4*D13^2)</f>
        <v>0.84375</v>
      </c>
      <c r="F13">
        <f>F12 + G12 * $B$2</f>
        <v>4.5546875</v>
      </c>
      <c r="G13" s="1">
        <f t="shared" si="0"/>
        <v>3.6875</v>
      </c>
      <c r="H13">
        <f>H12+G13*$B$2</f>
        <v>4.640625</v>
      </c>
    </row>
    <row r="14" spans="1:8">
      <c r="D14">
        <f t="shared" si="2"/>
        <v>1.625</v>
      </c>
      <c r="E14">
        <f>D14*(0.5*$B$4*D14^2)</f>
        <v>1.07275390625</v>
      </c>
      <c r="F14">
        <f>F13 + G13 * $B$2</f>
        <v>5.015625</v>
      </c>
      <c r="G14" s="1">
        <f t="shared" si="0"/>
        <v>3.75</v>
      </c>
      <c r="H14">
        <f>H13+G14*$B$2</f>
        <v>5.109375</v>
      </c>
    </row>
    <row r="15" spans="1:8">
      <c r="D15">
        <f>D14+$B$2</f>
        <v>1.75</v>
      </c>
      <c r="E15">
        <f>D15*(0.5*$B$4*D15^2)</f>
        <v>1.33984375</v>
      </c>
      <c r="F15">
        <f>F14 + G14 * $B$2</f>
        <v>5.484375</v>
      </c>
      <c r="G15" s="1">
        <f t="shared" si="0"/>
        <v>3.8125</v>
      </c>
      <c r="H15">
        <f>H14+G15*$B$2</f>
        <v>5.5859375</v>
      </c>
    </row>
    <row r="16" spans="1:8">
      <c r="D16">
        <f>D15+$B$2</f>
        <v>1.875</v>
      </c>
      <c r="E16">
        <f>D16*(0.5*$B$4*D16^2)</f>
        <v>1.64794921875</v>
      </c>
      <c r="F16">
        <f>F15 + G15 * $B$2</f>
        <v>5.9609375</v>
      </c>
      <c r="G16" s="1">
        <f t="shared" si="0"/>
        <v>3.875</v>
      </c>
      <c r="H16">
        <f>H15+G16*$B$2</f>
        <v>6.0703125</v>
      </c>
    </row>
    <row r="17" spans="4:8">
      <c r="D17">
        <f>D16+$B$2</f>
        <v>2</v>
      </c>
      <c r="E17">
        <f>D17*(0.5*$B$4*D17^2)</f>
        <v>2</v>
      </c>
      <c r="F17">
        <f>F16 + G16 * $B$2</f>
        <v>6.4453125</v>
      </c>
      <c r="G17" s="1">
        <f t="shared" si="0"/>
        <v>3.9375</v>
      </c>
      <c r="H17">
        <f>H16+G17*$B$2</f>
        <v>6.5625</v>
      </c>
    </row>
    <row r="18" spans="4:8">
      <c r="D18">
        <f t="shared" ref="D18:D31" si="3">D17+$B$2</f>
        <v>2.125</v>
      </c>
      <c r="E18">
        <f t="shared" ref="E18:E31" si="4">D18*(0.5*$B$4*D18^2)</f>
        <v>2.39892578125</v>
      </c>
      <c r="F18">
        <f t="shared" ref="F18:F31" si="5">F17 + G17 * $B$2</f>
        <v>6.9375</v>
      </c>
      <c r="G18" s="1">
        <f t="shared" ref="G18:G33" si="6">G17 + $B$4 * $B$2</f>
        <v>4</v>
      </c>
      <c r="H18">
        <f t="shared" ref="H18:H31" si="7">H17+G18*$B$2</f>
        <v>7.0625</v>
      </c>
    </row>
    <row r="19" spans="4:8">
      <c r="D19">
        <f t="shared" si="3"/>
        <v>2.25</v>
      </c>
      <c r="E19">
        <f t="shared" si="4"/>
        <v>2.84765625</v>
      </c>
      <c r="F19">
        <f t="shared" si="5"/>
        <v>7.4375</v>
      </c>
      <c r="G19" s="1">
        <f t="shared" si="6"/>
        <v>4.0625</v>
      </c>
      <c r="H19">
        <f t="shared" si="7"/>
        <v>7.5703125</v>
      </c>
    </row>
    <row r="20" spans="4:8">
      <c r="D20">
        <f t="shared" si="3"/>
        <v>2.375</v>
      </c>
      <c r="E20">
        <f t="shared" si="4"/>
        <v>3.34912109375</v>
      </c>
      <c r="F20">
        <f t="shared" si="5"/>
        <v>7.9453125</v>
      </c>
      <c r="G20" s="1">
        <f t="shared" si="6"/>
        <v>4.125</v>
      </c>
      <c r="H20">
        <f t="shared" si="7"/>
        <v>8.0859375</v>
      </c>
    </row>
    <row r="21" spans="4:8">
      <c r="D21">
        <f t="shared" si="3"/>
        <v>2.5</v>
      </c>
      <c r="E21">
        <f t="shared" si="4"/>
        <v>3.90625</v>
      </c>
      <c r="F21">
        <f t="shared" si="5"/>
        <v>8.4609375</v>
      </c>
      <c r="G21" s="1">
        <f t="shared" si="6"/>
        <v>4.1875</v>
      </c>
      <c r="H21">
        <f t="shared" si="7"/>
        <v>8.609375</v>
      </c>
    </row>
    <row r="22" spans="4:8">
      <c r="D22">
        <f t="shared" si="3"/>
        <v>2.625</v>
      </c>
      <c r="E22">
        <f t="shared" si="4"/>
        <v>4.52197265625</v>
      </c>
      <c r="F22">
        <f t="shared" si="5"/>
        <v>8.984375</v>
      </c>
      <c r="G22" s="1">
        <f t="shared" si="6"/>
        <v>4.25</v>
      </c>
      <c r="H22">
        <f t="shared" si="7"/>
        <v>9.140625</v>
      </c>
    </row>
    <row r="23" spans="4:8">
      <c r="D23">
        <f t="shared" si="3"/>
        <v>2.75</v>
      </c>
      <c r="E23">
        <f t="shared" si="4"/>
        <v>5.19921875</v>
      </c>
      <c r="F23">
        <f t="shared" si="5"/>
        <v>9.515625</v>
      </c>
      <c r="G23" s="1">
        <f t="shared" si="6"/>
        <v>4.3125</v>
      </c>
      <c r="H23">
        <f t="shared" si="7"/>
        <v>9.6796875</v>
      </c>
    </row>
    <row r="24" spans="4:8">
      <c r="D24">
        <f t="shared" si="3"/>
        <v>2.875</v>
      </c>
      <c r="E24">
        <f t="shared" si="4"/>
        <v>5.94091796875</v>
      </c>
      <c r="F24">
        <f t="shared" si="5"/>
        <v>10.0546875</v>
      </c>
      <c r="G24" s="1">
        <f t="shared" si="6"/>
        <v>4.375</v>
      </c>
      <c r="H24">
        <f t="shared" si="7"/>
        <v>10.2265625</v>
      </c>
    </row>
    <row r="25" spans="4:8">
      <c r="D25">
        <f t="shared" si="3"/>
        <v>3</v>
      </c>
      <c r="E25">
        <f t="shared" si="4"/>
        <v>6.75</v>
      </c>
      <c r="F25">
        <f t="shared" si="5"/>
        <v>10.6015625</v>
      </c>
      <c r="G25" s="1">
        <f t="shared" si="6"/>
        <v>4.4375</v>
      </c>
      <c r="H25">
        <f t="shared" si="7"/>
        <v>10.78125</v>
      </c>
    </row>
    <row r="26" spans="4:8">
      <c r="D26">
        <f t="shared" si="3"/>
        <v>3.125</v>
      </c>
      <c r="E26">
        <f t="shared" si="4"/>
        <v>7.62939453125</v>
      </c>
      <c r="F26">
        <f t="shared" si="5"/>
        <v>11.15625</v>
      </c>
      <c r="G26" s="1">
        <f t="shared" si="6"/>
        <v>4.5</v>
      </c>
      <c r="H26">
        <f t="shared" si="7"/>
        <v>11.34375</v>
      </c>
    </row>
    <row r="27" spans="4:8">
      <c r="D27">
        <f t="shared" si="3"/>
        <v>3.25</v>
      </c>
      <c r="E27">
        <f t="shared" si="4"/>
        <v>8.58203125</v>
      </c>
      <c r="F27">
        <f t="shared" si="5"/>
        <v>11.71875</v>
      </c>
      <c r="G27" s="1">
        <f t="shared" si="6"/>
        <v>4.5625</v>
      </c>
      <c r="H27">
        <f t="shared" si="7"/>
        <v>11.9140625</v>
      </c>
    </row>
    <row r="28" spans="4:8">
      <c r="D28">
        <f t="shared" si="3"/>
        <v>3.375</v>
      </c>
      <c r="E28">
        <f t="shared" si="4"/>
        <v>9.61083984375</v>
      </c>
      <c r="F28">
        <f t="shared" si="5"/>
        <v>12.2890625</v>
      </c>
      <c r="G28" s="1">
        <f t="shared" si="6"/>
        <v>4.625</v>
      </c>
      <c r="H28">
        <f t="shared" si="7"/>
        <v>12.4921875</v>
      </c>
    </row>
    <row r="29" spans="4:8">
      <c r="D29">
        <f t="shared" si="3"/>
        <v>3.5</v>
      </c>
      <c r="E29">
        <f t="shared" si="4"/>
        <v>10.71875</v>
      </c>
      <c r="F29">
        <f t="shared" si="5"/>
        <v>12.8671875</v>
      </c>
      <c r="G29" s="1">
        <f t="shared" si="6"/>
        <v>4.6875</v>
      </c>
      <c r="H29">
        <f t="shared" si="7"/>
        <v>13.078125</v>
      </c>
    </row>
    <row r="30" spans="4:8">
      <c r="D30">
        <f t="shared" si="3"/>
        <v>3.625</v>
      </c>
      <c r="E30">
        <f t="shared" si="4"/>
        <v>11.90869140625</v>
      </c>
      <c r="F30">
        <f t="shared" si="5"/>
        <v>13.453125</v>
      </c>
      <c r="G30" s="1">
        <f t="shared" si="6"/>
        <v>4.75</v>
      </c>
      <c r="H30">
        <f t="shared" si="7"/>
        <v>13.671875</v>
      </c>
    </row>
    <row r="31" spans="4:8">
      <c r="D31">
        <f t="shared" si="3"/>
        <v>3.75</v>
      </c>
      <c r="E31">
        <f t="shared" si="4"/>
        <v>13.18359375</v>
      </c>
      <c r="F31">
        <f t="shared" si="5"/>
        <v>14.046875</v>
      </c>
      <c r="G31" s="1">
        <f t="shared" si="6"/>
        <v>4.8125</v>
      </c>
      <c r="H31">
        <f t="shared" si="7"/>
        <v>14.2734375</v>
      </c>
    </row>
    <row r="32" spans="4:8">
      <c r="D32">
        <f>D31+$B$2</f>
        <v>3.875</v>
      </c>
      <c r="E32">
        <f>D32*(0.5*$B$4*D32^2)</f>
        <v>14.54638671875</v>
      </c>
      <c r="F32">
        <f>F31 + G31 * $B$2</f>
        <v>14.6484375</v>
      </c>
      <c r="G32" s="1">
        <f t="shared" si="6"/>
        <v>4.875</v>
      </c>
      <c r="H32">
        <f>H31+G32*$B$2</f>
        <v>14.8828125</v>
      </c>
    </row>
    <row r="33" spans="4:8">
      <c r="D33">
        <f>D32+$B$2</f>
        <v>4</v>
      </c>
      <c r="E33">
        <f>D33*(0.5*$B$4*D33^2)</f>
        <v>16</v>
      </c>
      <c r="F33">
        <f>F32 + G32 * $B$2</f>
        <v>15.2578125</v>
      </c>
      <c r="G33" s="1">
        <f t="shared" si="6"/>
        <v>4.9375</v>
      </c>
      <c r="H33">
        <f>H32+G33*$B$2</f>
        <v>15.5</v>
      </c>
    </row>
    <row r="34" spans="4:8">
      <c r="D34">
        <f t="shared" ref="D34:D43" si="8">D33+$B$2</f>
        <v>4.125</v>
      </c>
      <c r="E34">
        <f t="shared" ref="E34:E49" si="9">D34*(0.5*$B$4*D34^2)</f>
        <v>17.54736328125</v>
      </c>
      <c r="F34">
        <f t="shared" ref="F34:F43" si="10">F33 + G33 * $B$2</f>
        <v>15.875</v>
      </c>
      <c r="G34" s="1">
        <f t="shared" ref="G34:G44" si="11">G33 + $B$4 * $B$2</f>
        <v>5</v>
      </c>
      <c r="H34">
        <f t="shared" ref="H34:H43" si="12">H33+G34*$B$2</f>
        <v>16.125</v>
      </c>
    </row>
    <row r="35" spans="4:8">
      <c r="D35">
        <f t="shared" si="8"/>
        <v>4.25</v>
      </c>
      <c r="E35">
        <f t="shared" si="9"/>
        <v>19.19140625</v>
      </c>
      <c r="F35">
        <f t="shared" si="10"/>
        <v>16.5</v>
      </c>
      <c r="G35" s="1">
        <f t="shared" si="11"/>
        <v>5.0625</v>
      </c>
      <c r="H35">
        <f t="shared" si="12"/>
        <v>16.7578125</v>
      </c>
    </row>
    <row r="36" spans="4:8">
      <c r="D36">
        <f t="shared" si="8"/>
        <v>4.375</v>
      </c>
      <c r="E36">
        <f t="shared" si="9"/>
        <v>20.93505859375</v>
      </c>
      <c r="F36">
        <f t="shared" si="10"/>
        <v>17.1328125</v>
      </c>
      <c r="G36" s="1">
        <f t="shared" si="11"/>
        <v>5.125</v>
      </c>
      <c r="H36">
        <f t="shared" si="12"/>
        <v>17.3984375</v>
      </c>
    </row>
    <row r="37" spans="4:8">
      <c r="D37">
        <f t="shared" si="8"/>
        <v>4.5</v>
      </c>
      <c r="E37">
        <f t="shared" si="9"/>
        <v>22.78125</v>
      </c>
      <c r="F37">
        <f t="shared" si="10"/>
        <v>17.7734375</v>
      </c>
      <c r="G37" s="1">
        <f t="shared" si="11"/>
        <v>5.1875</v>
      </c>
      <c r="H37">
        <f t="shared" si="12"/>
        <v>18.046875</v>
      </c>
    </row>
    <row r="38" spans="4:8">
      <c r="D38">
        <f t="shared" si="8"/>
        <v>4.625</v>
      </c>
      <c r="E38">
        <f t="shared" si="9"/>
        <v>24.73291015625</v>
      </c>
      <c r="F38">
        <f t="shared" si="10"/>
        <v>18.421875</v>
      </c>
      <c r="G38" s="1">
        <f t="shared" si="11"/>
        <v>5.25</v>
      </c>
      <c r="H38">
        <f t="shared" si="12"/>
        <v>18.703125</v>
      </c>
    </row>
    <row r="39" spans="4:8">
      <c r="D39">
        <f t="shared" si="8"/>
        <v>4.75</v>
      </c>
      <c r="E39">
        <f t="shared" si="9"/>
        <v>26.79296875</v>
      </c>
      <c r="F39">
        <f t="shared" si="10"/>
        <v>19.078125</v>
      </c>
      <c r="G39" s="1">
        <f t="shared" si="11"/>
        <v>5.3125</v>
      </c>
      <c r="H39">
        <f t="shared" si="12"/>
        <v>19.3671875</v>
      </c>
    </row>
    <row r="40" spans="4:8">
      <c r="D40">
        <f t="shared" si="8"/>
        <v>4.875</v>
      </c>
      <c r="E40">
        <f t="shared" si="9"/>
        <v>28.96435546875</v>
      </c>
      <c r="F40">
        <f t="shared" si="10"/>
        <v>19.7421875</v>
      </c>
      <c r="G40" s="1">
        <f t="shared" si="11"/>
        <v>5.375</v>
      </c>
      <c r="H40">
        <f t="shared" si="12"/>
        <v>20.0390625</v>
      </c>
    </row>
    <row r="41" spans="4:8">
      <c r="D41">
        <f t="shared" si="8"/>
        <v>5</v>
      </c>
      <c r="E41">
        <f t="shared" si="9"/>
        <v>31.25</v>
      </c>
      <c r="F41">
        <f t="shared" si="10"/>
        <v>20.4140625</v>
      </c>
      <c r="G41" s="1">
        <f t="shared" si="11"/>
        <v>5.4375</v>
      </c>
      <c r="H41">
        <f t="shared" si="12"/>
        <v>20.71875</v>
      </c>
    </row>
    <row r="42" spans="4:8">
      <c r="D42">
        <f t="shared" si="8"/>
        <v>5.125</v>
      </c>
      <c r="E42">
        <f t="shared" si="9"/>
        <v>33.65283203125</v>
      </c>
      <c r="F42">
        <f t="shared" si="10"/>
        <v>21.09375</v>
      </c>
      <c r="G42" s="1">
        <f t="shared" si="11"/>
        <v>5.5</v>
      </c>
      <c r="H42">
        <f t="shared" si="12"/>
        <v>21.40625</v>
      </c>
    </row>
    <row r="43" spans="4:8">
      <c r="D43">
        <f t="shared" si="8"/>
        <v>5.25</v>
      </c>
      <c r="E43">
        <f t="shared" si="9"/>
        <v>36.17578125</v>
      </c>
      <c r="F43">
        <f t="shared" si="10"/>
        <v>21.78125</v>
      </c>
      <c r="G43" s="1">
        <f t="shared" si="11"/>
        <v>5.5625</v>
      </c>
      <c r="H43">
        <f t="shared" si="12"/>
        <v>22.1015625</v>
      </c>
    </row>
    <row r="44" spans="4:8">
      <c r="D44">
        <f>D43+$B$2</f>
        <v>5.375</v>
      </c>
      <c r="E44">
        <f>D44*(0.5*$B$4*D44^2)</f>
        <v>38.82177734375</v>
      </c>
      <c r="F44">
        <f>F43 + G43 * $B$2</f>
        <v>22.4765625</v>
      </c>
      <c r="G44" s="1">
        <f t="shared" si="11"/>
        <v>5.625</v>
      </c>
      <c r="H44">
        <f>H43+G44*$B$2</f>
        <v>22.8046875</v>
      </c>
    </row>
    <row r="45" spans="4:8">
      <c r="D45">
        <f t="shared" ref="D45:D47" si="13">D44+$B$2</f>
        <v>5.5</v>
      </c>
      <c r="E45">
        <f t="shared" si="9"/>
        <v>41.59375</v>
      </c>
      <c r="F45">
        <f t="shared" ref="F45:F47" si="14">F44 + G44 * $B$2</f>
        <v>23.1796875</v>
      </c>
      <c r="G45" s="1">
        <f t="shared" ref="G45:G47" si="15">G44 + $B$4 * $B$2</f>
        <v>5.6875</v>
      </c>
      <c r="H45">
        <f t="shared" ref="H45:H47" si="16">H44+G45*$B$2</f>
        <v>23.515625</v>
      </c>
    </row>
    <row r="46" spans="4:8">
      <c r="D46">
        <f t="shared" si="13"/>
        <v>5.625</v>
      </c>
      <c r="E46">
        <f t="shared" si="9"/>
        <v>44.49462890625</v>
      </c>
      <c r="F46">
        <f t="shared" si="14"/>
        <v>23.890625</v>
      </c>
      <c r="G46" s="1">
        <f t="shared" si="15"/>
        <v>5.75</v>
      </c>
      <c r="H46">
        <f t="shared" si="16"/>
        <v>24.234375</v>
      </c>
    </row>
    <row r="47" spans="4:8">
      <c r="D47">
        <f t="shared" si="13"/>
        <v>5.75</v>
      </c>
      <c r="E47">
        <f t="shared" si="9"/>
        <v>47.52734375</v>
      </c>
      <c r="F47">
        <f t="shared" si="14"/>
        <v>24.609375</v>
      </c>
      <c r="G47" s="1">
        <f t="shared" si="15"/>
        <v>5.8125</v>
      </c>
      <c r="H47">
        <f t="shared" si="16"/>
        <v>24.9609375</v>
      </c>
    </row>
    <row r="48" spans="4:8">
      <c r="D48">
        <f t="shared" ref="D48:D49" si="17">D47+$B$2</f>
        <v>5.875</v>
      </c>
      <c r="E48">
        <f t="shared" si="9"/>
        <v>50.69482421875</v>
      </c>
      <c r="F48">
        <f t="shared" ref="F48:F49" si="18">F47 + G47 * $B$2</f>
        <v>25.3359375</v>
      </c>
      <c r="G48" s="1">
        <f t="shared" ref="G48:G49" si="19">G47 + $B$4 * $B$2</f>
        <v>5.875</v>
      </c>
      <c r="H48">
        <f t="shared" ref="H48:H49" si="20">H47+G48*$B$2</f>
        <v>25.6953125</v>
      </c>
    </row>
    <row r="49" spans="4:8">
      <c r="D49">
        <f t="shared" si="17"/>
        <v>6</v>
      </c>
      <c r="E49">
        <f t="shared" si="9"/>
        <v>54</v>
      </c>
      <c r="F49">
        <f t="shared" si="18"/>
        <v>26.0703125</v>
      </c>
      <c r="G49" s="1">
        <f t="shared" si="19"/>
        <v>5.9375</v>
      </c>
      <c r="H49">
        <f t="shared" si="20"/>
        <v>26.4375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88F6DD2-658E-492E-A98C-5357C208E1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Sheet1!D2:D2</xm:f>
              <xm:sqref>E2</xm:sqref>
            </x14:sparkline>
            <x14:sparkline>
              <xm:f>Sheet1!D3:D3</xm:f>
              <xm:sqref>E3</xm:sqref>
            </x14:sparkline>
            <x14:sparkline>
              <xm:f>Sheet1!D4:D4</xm:f>
              <xm:sqref>E4</xm:sqref>
            </x14:sparkline>
            <x14:sparkline>
              <xm:f>Sheet1!D5:D5</xm:f>
              <xm:sqref>E5</xm:sqref>
            </x14:sparkline>
            <x14:sparkline>
              <xm:f>Sheet1!D6:D6</xm:f>
              <xm:sqref>E6</xm:sqref>
            </x14:sparkline>
            <x14:sparkline>
              <xm:f>Sheet1!D7:D7</xm:f>
              <xm:sqref>E7</xm:sqref>
            </x14:sparkline>
            <x14:sparkline>
              <xm:f>Sheet1!D8:D8</xm:f>
              <xm:sqref>E8</xm:sqref>
            </x14:sparkline>
            <x14:sparkline>
              <xm:f>Sheet1!D9:D9</xm:f>
              <xm:sqref>E9</xm:sqref>
            </x14:sparkline>
            <x14:sparkline>
              <xm:f>Sheet1!D10:D10</xm:f>
              <xm:sqref>E10</xm:sqref>
            </x14:sparkline>
            <x14:sparkline>
              <xm:f>Sheet1!D11:D11</xm:f>
              <xm:sqref>E11</xm:sqref>
            </x14:sparkline>
            <x14:sparkline>
              <xm:f>Sheet1!D12:D12</xm:f>
              <xm:sqref>E12</xm:sqref>
            </x14:sparkline>
            <x14:sparkline>
              <xm:f>Sheet1!D13:D13</xm:f>
              <xm:sqref>E13</xm:sqref>
            </x14:sparkline>
            <x14:sparkline>
              <xm:f>Sheet1!D14:D14</xm:f>
              <xm:sqref>E14</xm:sqref>
            </x14:sparkline>
            <x14:sparkline>
              <xm:f>Sheet1!D15:D15</xm:f>
              <xm:sqref>E15</xm:sqref>
            </x14:sparkline>
            <x14:sparkline>
              <xm:f>Sheet1!D16:D16</xm:f>
              <xm:sqref>E16</xm:sqref>
            </x14:sparkline>
            <x14:sparkline>
              <xm:f>Sheet1!D17:D17</xm:f>
              <xm:sqref>E17</xm:sqref>
            </x14:sparkline>
            <x14:sparkline>
              <xm:f>Sheet1!D18:D18</xm:f>
              <xm:sqref>E18</xm:sqref>
            </x14:sparkline>
            <x14:sparkline>
              <xm:f>Sheet1!D19:D19</xm:f>
              <xm:sqref>E19</xm:sqref>
            </x14:sparkline>
            <x14:sparkline>
              <xm:f>Sheet1!D20:D20</xm:f>
              <xm:sqref>E20</xm:sqref>
            </x14:sparkline>
            <x14:sparkline>
              <xm:f>Sheet1!D21:D21</xm:f>
              <xm:sqref>E21</xm:sqref>
            </x14:sparkline>
            <x14:sparkline>
              <xm:f>Sheet1!D22:D22</xm:f>
              <xm:sqref>E22</xm:sqref>
            </x14:sparkline>
            <x14:sparkline>
              <xm:f>Sheet1!D23:D23</xm:f>
              <xm:sqref>E23</xm:sqref>
            </x14:sparkline>
            <x14:sparkline>
              <xm:f>Sheet1!D24:D24</xm:f>
              <xm:sqref>E24</xm:sqref>
            </x14:sparkline>
            <x14:sparkline>
              <xm:f>Sheet1!D25:D25</xm:f>
              <xm:sqref>E25</xm:sqref>
            </x14:sparkline>
            <x14:sparkline>
              <xm:f>Sheet1!D26:D26</xm:f>
              <xm:sqref>E26</xm:sqref>
            </x14:sparkline>
            <x14:sparkline>
              <xm:f>Sheet1!D27:D27</xm:f>
              <xm:sqref>E27</xm:sqref>
            </x14:sparkline>
            <x14:sparkline>
              <xm:f>Sheet1!D28:D28</xm:f>
              <xm:sqref>E28</xm:sqref>
            </x14:sparkline>
            <x14:sparkline>
              <xm:f>Sheet1!D29:D29</xm:f>
              <xm:sqref>E29</xm:sqref>
            </x14:sparkline>
            <x14:sparkline>
              <xm:f>Sheet1!D30:D30</xm:f>
              <xm:sqref>E30</xm:sqref>
            </x14:sparkline>
            <x14:sparkline>
              <xm:f>Sheet1!D31:D31</xm:f>
              <xm:sqref>E31</xm:sqref>
            </x14:sparkline>
            <x14:sparkline>
              <xm:f>Sheet1!D32:D32</xm:f>
              <xm:sqref>E32</xm:sqref>
            </x14:sparkline>
            <x14:sparkline>
              <xm:f>Sheet1!D33:D33</xm:f>
              <xm:sqref>E33</xm:sqref>
            </x14:sparkline>
            <x14:sparkline>
              <xm:f>Sheet1!D34:D34</xm:f>
              <xm:sqref>E34</xm:sqref>
            </x14:sparkline>
            <x14:sparkline>
              <xm:f>Sheet1!D35:D35</xm:f>
              <xm:sqref>E35</xm:sqref>
            </x14:sparkline>
            <x14:sparkline>
              <xm:f>Sheet1!D36:D36</xm:f>
              <xm:sqref>E36</xm:sqref>
            </x14:sparkline>
            <x14:sparkline>
              <xm:f>Sheet1!D37:D37</xm:f>
              <xm:sqref>E37</xm:sqref>
            </x14:sparkline>
            <x14:sparkline>
              <xm:f>Sheet1!D38:D38</xm:f>
              <xm:sqref>E38</xm:sqref>
            </x14:sparkline>
            <x14:sparkline>
              <xm:f>Sheet1!D39:D39</xm:f>
              <xm:sqref>E39</xm:sqref>
            </x14:sparkline>
            <x14:sparkline>
              <xm:f>Sheet1!D40:D40</xm:f>
              <xm:sqref>E40</xm:sqref>
            </x14:sparkline>
            <x14:sparkline>
              <xm:f>Sheet1!D41:D41</xm:f>
              <xm:sqref>E41</xm:sqref>
            </x14:sparkline>
            <x14:sparkline>
              <xm:f>Sheet1!D42:D42</xm:f>
              <xm:sqref>E42</xm:sqref>
            </x14:sparkline>
            <x14:sparkline>
              <xm:f>Sheet1!D43:D43</xm:f>
              <xm:sqref>E43</xm:sqref>
            </x14:sparkline>
            <x14:sparkline>
              <xm:f>Sheet1!D44:D44</xm:f>
              <xm:sqref>E44</xm:sqref>
            </x14:sparkline>
            <x14:sparkline>
              <xm:f>Sheet1!D45:D45</xm:f>
              <xm:sqref>E45</xm:sqref>
            </x14:sparkline>
            <x14:sparkline>
              <xm:f>Sheet1!D46:D46</xm:f>
              <xm:sqref>E46</xm:sqref>
            </x14:sparkline>
            <x14:sparkline>
              <xm:f>Sheet1!D47:D47</xm:f>
              <xm:sqref>E47</xm:sqref>
            </x14:sparkline>
            <x14:sparkline>
              <xm:f>Sheet1!D48:D48</xm:f>
              <xm:sqref>E48</xm:sqref>
            </x14:sparkline>
            <x14:sparkline>
              <xm:f>Sheet1!D49:D49</xm:f>
              <xm:sqref>E49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Hull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HULL</dc:creator>
  <cp:lastModifiedBy>ARCHIE HULL</cp:lastModifiedBy>
  <dcterms:created xsi:type="dcterms:W3CDTF">2026-02-05T09:32:41Z</dcterms:created>
  <dcterms:modified xsi:type="dcterms:W3CDTF">2026-02-05T10:12:07Z</dcterms:modified>
</cp:coreProperties>
</file>